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hu\Documents\UT_Files\Senior_Design_Repos\APWCR_CAD_FILES\Analysis\"/>
    </mc:Choice>
  </mc:AlternateContent>
  <xr:revisionPtr revIDLastSave="0" documentId="13_ncr:1_{A1308E3C-3F5E-49A6-B419-18DA2A40EE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aste Collection Mechanism" sheetId="1" r:id="rId1"/>
    <sheet name="Vehicle Drivetra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C81" i="1"/>
  <c r="C80" i="1"/>
  <c r="C83" i="1"/>
  <c r="C74" i="1"/>
  <c r="C65" i="1"/>
  <c r="C67" i="1"/>
  <c r="C64" i="1"/>
  <c r="C66" i="1" s="1"/>
  <c r="F4" i="1"/>
  <c r="C5" i="1"/>
  <c r="F17" i="1"/>
  <c r="F18" i="1" s="1"/>
  <c r="F19" i="1" s="1"/>
  <c r="C20" i="1"/>
  <c r="I17" i="1" s="1"/>
  <c r="I18" i="1" s="1"/>
  <c r="H24" i="1" l="1"/>
  <c r="C84" i="1"/>
  <c r="C68" i="1"/>
  <c r="C69" i="1" s="1"/>
  <c r="C70" i="1" s="1"/>
  <c r="F24" i="2"/>
  <c r="F21" i="2"/>
  <c r="F20" i="2"/>
  <c r="F19" i="2"/>
  <c r="F25" i="2" l="1"/>
  <c r="C6" i="1"/>
  <c r="C9" i="2"/>
  <c r="C10" i="2" s="1"/>
  <c r="I5" i="2" s="1"/>
  <c r="F5" i="2"/>
  <c r="F4" i="2"/>
  <c r="F6" i="2"/>
  <c r="C4" i="2"/>
  <c r="I4" i="1" l="1"/>
  <c r="I5" i="1" s="1"/>
  <c r="F26" i="2"/>
  <c r="I4" i="2"/>
  <c r="F7" i="2"/>
  <c r="F8" i="2" s="1"/>
  <c r="F9" i="2" s="1"/>
  <c r="H14" i="2" s="1"/>
  <c r="F5" i="1"/>
  <c r="F6" i="1" s="1"/>
  <c r="H1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<sst xmlns="http://schemas.openxmlformats.org/spreadsheetml/2006/main" count="189" uniqueCount="113">
  <si>
    <t>Mechanism Properties</t>
  </si>
  <si>
    <t>Linkage Arm C2C Lengths</t>
  </si>
  <si>
    <t>in</t>
  </si>
  <si>
    <t>Lift Mechanism Available Torque vs Required Torque at Horizontal Calculation</t>
  </si>
  <si>
    <t>Motor Torque Rating</t>
  </si>
  <si>
    <r>
      <t xml:space="preserve">Friction Drag </t>
    </r>
    <r>
      <rPr>
        <i/>
        <sz val="11"/>
        <color theme="1"/>
        <rFont val="Calibri"/>
        <family val="2"/>
        <scheme val="minor"/>
      </rPr>
      <t>(Estimate)</t>
    </r>
  </si>
  <si>
    <t>FOS</t>
  </si>
  <si>
    <t>Gear Train Ratio, G</t>
  </si>
  <si>
    <t>Geartrain Efficiency, n</t>
  </si>
  <si>
    <t>Estimated Bucket Load</t>
  </si>
  <si>
    <t xml:space="preserve">lb  </t>
  </si>
  <si>
    <t xml:space="preserve">Required Torque </t>
  </si>
  <si>
    <t>Gravity Torque</t>
  </si>
  <si>
    <t>lb-in</t>
  </si>
  <si>
    <t xml:space="preserve">Total Required Torque </t>
  </si>
  <si>
    <t>Available Torque</t>
  </si>
  <si>
    <t>Nominal Output Torque</t>
  </si>
  <si>
    <t>Available Output Torque</t>
  </si>
  <si>
    <t>Available Torque Margin of Safety</t>
  </si>
  <si>
    <t xml:space="preserve">Required Torque vs Available Drivetrain Torque </t>
  </si>
  <si>
    <t>Wheel Radius</t>
  </si>
  <si>
    <t>Ground Slope</t>
  </si>
  <si>
    <t>Drivetrain Ratio</t>
  </si>
  <si>
    <t>Drivetrain Efficiency</t>
  </si>
  <si>
    <t>deg</t>
  </si>
  <si>
    <t>Factor of Safety</t>
  </si>
  <si>
    <t>Target Acceleration</t>
  </si>
  <si>
    <t>ft/s^2</t>
  </si>
  <si>
    <t>Rolling Resistance, Crr</t>
  </si>
  <si>
    <t xml:space="preserve">g </t>
  </si>
  <si>
    <t>Vehicle Properties</t>
  </si>
  <si>
    <t>Vehicle Weight</t>
  </si>
  <si>
    <t>lbf</t>
  </si>
  <si>
    <t>kg-cm</t>
  </si>
  <si>
    <t>Rated Torque</t>
  </si>
  <si>
    <t>Stall Torque</t>
  </si>
  <si>
    <t xml:space="preserve">Motor Torque Rating </t>
  </si>
  <si>
    <t>Gravity Force</t>
  </si>
  <si>
    <t>Rolling Resistance Force</t>
  </si>
  <si>
    <t>Acceleration Force</t>
  </si>
  <si>
    <t>Total Force</t>
  </si>
  <si>
    <t>Force Needed per Wheel</t>
  </si>
  <si>
    <t>Wheel Torque Needed</t>
  </si>
  <si>
    <t>lbf-in</t>
  </si>
  <si>
    <t>Required Torque @ Wheel</t>
  </si>
  <si>
    <t>Available Torque @ Wheel</t>
  </si>
  <si>
    <t>Motor Rated Torque</t>
  </si>
  <si>
    <t>Wheel Torque Available</t>
  </si>
  <si>
    <t>Drive Train Gear Calculation</t>
  </si>
  <si>
    <t>Gear Properties</t>
  </si>
  <si>
    <t>mm</t>
  </si>
  <si>
    <t>Motor Gear Helix Angle</t>
  </si>
  <si>
    <t>Motor Gear # Teeth</t>
  </si>
  <si>
    <t>Motor Gear Pressure Angle</t>
  </si>
  <si>
    <t>Motor Gear Length</t>
  </si>
  <si>
    <t>Wheel Gear Pressure Angle</t>
  </si>
  <si>
    <t>Wheel Gear # Teeth</t>
  </si>
  <si>
    <t>Wheel Gear Length</t>
  </si>
  <si>
    <t>Calculated Properties</t>
  </si>
  <si>
    <t>Motor Gear Pitch Diameter</t>
  </si>
  <si>
    <t>Wheel Gear Pitch Diameter</t>
  </si>
  <si>
    <t>Required Mounting Center-Center Distance</t>
  </si>
  <si>
    <t>Motor Gear Normal Module</t>
  </si>
  <si>
    <t>Wheel Gear Normal Module</t>
  </si>
  <si>
    <t>Motor Gear Transverse Pitch Diameter</t>
  </si>
  <si>
    <t>Wheel Gear Transverse Pitch Diameter</t>
  </si>
  <si>
    <t>Sweeper Servo Available Torque vs Required Torque  @ Worst Case (Servo Horn near in-line w/ Connecting Linkage)</t>
  </si>
  <si>
    <t>Avg Pet Waste Mass</t>
  </si>
  <si>
    <t>Servo Rated Torque (metric)</t>
  </si>
  <si>
    <t>Servo Rated Torque (customary</t>
  </si>
  <si>
    <t>Linkage Angle, Alpha</t>
  </si>
  <si>
    <t>Servo Lever Arm</t>
  </si>
  <si>
    <t>Servo Angle, Theta</t>
  </si>
  <si>
    <t>Force, Pet Waste</t>
  </si>
  <si>
    <t xml:space="preserve">lb </t>
  </si>
  <si>
    <t>Sweeper Force w/ Friction</t>
  </si>
  <si>
    <t>lb</t>
  </si>
  <si>
    <t>Pet Waste Effective Drag Coeff</t>
  </si>
  <si>
    <r>
      <t xml:space="preserve">Linear Shaft Friction Drag </t>
    </r>
    <r>
      <rPr>
        <i/>
        <sz val="11"/>
        <color theme="1"/>
        <rFont val="Calibri"/>
        <family val="2"/>
        <scheme val="minor"/>
      </rPr>
      <t>(Estimate)</t>
    </r>
  </si>
  <si>
    <t>Friction Torque</t>
  </si>
  <si>
    <t>Belt Drive Dimensioning</t>
  </si>
  <si>
    <t>Pulley 1</t>
  </si>
  <si>
    <t>Pitch</t>
  </si>
  <si>
    <t>Teeth Count</t>
  </si>
  <si>
    <t>N</t>
  </si>
  <si>
    <t>Pulley 2</t>
  </si>
  <si>
    <t>Belt</t>
  </si>
  <si>
    <t>Number of Teeth</t>
  </si>
  <si>
    <t>Belt Pitch length</t>
  </si>
  <si>
    <t>Outer Diameter</t>
  </si>
  <si>
    <t>Pitch Diameter</t>
  </si>
  <si>
    <t>Linear Belt Span, A</t>
  </si>
  <si>
    <t>Pulley Wrap, P</t>
  </si>
  <si>
    <t>Pulley Diameter Difference Squared, d</t>
  </si>
  <si>
    <t>Quadratic Distance Correction Term, Q</t>
  </si>
  <si>
    <t>Required Center Distance, C</t>
  </si>
  <si>
    <t>mm^2</t>
  </si>
  <si>
    <t>Stabilizer Bar Deflection Check</t>
  </si>
  <si>
    <t>Young's Modulus</t>
  </si>
  <si>
    <t>Density</t>
  </si>
  <si>
    <t>psi</t>
  </si>
  <si>
    <t>lb/in^3</t>
  </si>
  <si>
    <t>OD</t>
  </si>
  <si>
    <t>Length</t>
  </si>
  <si>
    <t>Area moment of Inertia</t>
  </si>
  <si>
    <t>in^4</t>
  </si>
  <si>
    <t>Load, P</t>
  </si>
  <si>
    <t>Max deflection</t>
  </si>
  <si>
    <t>Weight</t>
  </si>
  <si>
    <t>Cross-Sectional Area</t>
  </si>
  <si>
    <t>Volume</t>
  </si>
  <si>
    <t>in^2</t>
  </si>
  <si>
    <t>in^3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</si>
</sst>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00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  <xf numFmtId="0" fontId="7" fillId="0" borderId="18" applyNumberFormat="0" applyFill="0" applyAlignment="0" applyProtection="0"/>
  </cellStyleXfs>
  <cellXfs count="69">
    <xf numFmtId="0" fontId="0" fillId="0" borderId="0" xfId="0"/>
    <xf numFmtId="0" fontId="0" fillId="0" borderId="3" xfId="0" applyBorder="1"/>
    <xf numFmtId="0" fontId="0" fillId="0" borderId="4" xfId="0" applyBorder="1"/>
    <xf numFmtId="0" fontId="3" fillId="3" borderId="1" xfId="3"/>
    <xf numFmtId="0" fontId="0" fillId="0" borderId="5" xfId="0" applyBorder="1"/>
    <xf numFmtId="0" fontId="1" fillId="2" borderId="6" xfId="1" applyBorder="1"/>
    <xf numFmtId="0" fontId="0" fillId="0" borderId="7" xfId="0" applyBorder="1"/>
    <xf numFmtId="0" fontId="1" fillId="2" borderId="10" xfId="1" applyBorder="1"/>
    <xf numFmtId="0" fontId="0" fillId="0" borderId="14" xfId="0" applyBorder="1"/>
    <xf numFmtId="0" fontId="0" fillId="0" borderId="15" xfId="0" applyBorder="1"/>
    <xf numFmtId="0" fontId="1" fillId="2" borderId="1" xfId="1"/>
    <xf numFmtId="0" fontId="4" fillId="0" borderId="0" xfId="0" applyFont="1"/>
    <xf numFmtId="0" fontId="2" fillId="3" borderId="2" xfId="2"/>
    <xf numFmtId="0" fontId="1" fillId="2" borderId="16" xfId="1" applyBorder="1"/>
    <xf numFmtId="0" fontId="4" fillId="0" borderId="7" xfId="0" applyFont="1" applyBorder="1"/>
    <xf numFmtId="0" fontId="4" fillId="0" borderId="3" xfId="0" applyFont="1" applyBorder="1"/>
    <xf numFmtId="0" fontId="1" fillId="2" borderId="20" xfId="1" applyBorder="1"/>
    <xf numFmtId="0" fontId="0" fillId="0" borderId="17" xfId="0" applyBorder="1"/>
    <xf numFmtId="164" fontId="3" fillId="3" borderId="1" xfId="3" applyNumberFormat="1"/>
    <xf numFmtId="164" fontId="2" fillId="3" borderId="2" xfId="2" applyNumberFormat="1"/>
    <xf numFmtId="164" fontId="1" fillId="2" borderId="1" xfId="1" applyNumberFormat="1"/>
    <xf numFmtId="164" fontId="1" fillId="2" borderId="6" xfId="1" applyNumberFormat="1" applyBorder="1"/>
    <xf numFmtId="164" fontId="7" fillId="0" borderId="18" xfId="4" applyNumberFormat="1"/>
    <xf numFmtId="164" fontId="3" fillId="3" borderId="20" xfId="3" applyNumberFormat="1" applyBorder="1"/>
    <xf numFmtId="0" fontId="2" fillId="3" borderId="21" xfId="2" applyBorder="1"/>
    <xf numFmtId="0" fontId="4" fillId="0" borderId="17" xfId="0" applyFont="1" applyBorder="1"/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4" fontId="6" fillId="3" borderId="19" xfId="2" applyNumberFormat="1" applyFont="1" applyBorder="1" applyAlignment="1">
      <alignment horizontal="center" vertical="center"/>
    </xf>
    <xf numFmtId="164" fontId="6" fillId="3" borderId="14" xfId="2" applyNumberFormat="1" applyFont="1" applyBorder="1" applyAlignment="1">
      <alignment horizontal="center" vertical="center"/>
    </xf>
    <xf numFmtId="164" fontId="6" fillId="3" borderId="15" xfId="2" applyNumberFormat="1" applyFont="1" applyBorder="1" applyAlignment="1">
      <alignment horizontal="center" vertical="center"/>
    </xf>
    <xf numFmtId="164" fontId="6" fillId="3" borderId="5" xfId="2" applyNumberFormat="1" applyFont="1" applyBorder="1" applyAlignment="1">
      <alignment horizontal="center" vertical="center"/>
    </xf>
    <xf numFmtId="164" fontId="6" fillId="3" borderId="7" xfId="2" applyNumberFormat="1" applyFont="1" applyBorder="1" applyAlignment="1">
      <alignment horizontal="center" vertical="center"/>
    </xf>
    <xf numFmtId="164" fontId="6" fillId="3" borderId="17" xfId="2" applyNumberFormat="1" applyFont="1" applyBorder="1" applyAlignment="1">
      <alignment horizontal="center" vertical="center"/>
    </xf>
    <xf numFmtId="2" fontId="6" fillId="3" borderId="19" xfId="2" applyNumberFormat="1" applyFont="1" applyBorder="1" applyAlignment="1">
      <alignment horizontal="center" vertical="center"/>
    </xf>
    <xf numFmtId="2" fontId="6" fillId="3" borderId="14" xfId="2" applyNumberFormat="1" applyFont="1" applyBorder="1" applyAlignment="1">
      <alignment horizontal="center" vertical="center"/>
    </xf>
    <xf numFmtId="2" fontId="6" fillId="3" borderId="15" xfId="2" applyNumberFormat="1" applyFont="1" applyBorder="1" applyAlignment="1">
      <alignment horizontal="center" vertical="center"/>
    </xf>
    <xf numFmtId="2" fontId="6" fillId="3" borderId="5" xfId="2" applyNumberFormat="1" applyFont="1" applyBorder="1" applyAlignment="1">
      <alignment horizontal="center" vertical="center"/>
    </xf>
    <xf numFmtId="2" fontId="6" fillId="3" borderId="7" xfId="2" applyNumberFormat="1" applyFont="1" applyBorder="1" applyAlignment="1">
      <alignment horizontal="center" vertical="center"/>
    </xf>
    <xf numFmtId="2" fontId="6" fillId="3" borderId="17" xfId="2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0" borderId="19" xfId="0" applyBorder="1"/>
    <xf numFmtId="0" fontId="1" fillId="2" borderId="22" xfId="1" applyBorder="1"/>
    <xf numFmtId="0" fontId="4" fillId="0" borderId="15" xfId="0" applyFont="1" applyBorder="1"/>
    <xf numFmtId="0" fontId="1" fillId="2" borderId="1" xfId="1" applyBorder="1"/>
    <xf numFmtId="167" fontId="3" fillId="3" borderId="1" xfId="3" applyNumberFormat="1" applyBorder="1"/>
    <xf numFmtId="0" fontId="4" fillId="0" borderId="3" xfId="0" applyFont="1" applyFill="1" applyBorder="1"/>
    <xf numFmtId="0" fontId="4" fillId="0" borderId="17" xfId="0" applyFont="1" applyFill="1" applyBorder="1"/>
    <xf numFmtId="0" fontId="0" fillId="0" borderId="4" xfId="0" applyFill="1" applyBorder="1"/>
    <xf numFmtId="0" fontId="4" fillId="0" borderId="4" xfId="0" applyFont="1" applyBorder="1"/>
    <xf numFmtId="0" fontId="4" fillId="0" borderId="5" xfId="0" applyFont="1" applyBorder="1"/>
  </cellXfs>
  <cellStyles count="5">
    <cellStyle name="Calculation" xfId="3" builtinId="22"/>
    <cellStyle name="Input" xfId="1" builtinId="20"/>
    <cellStyle name="Linked Cell" xfId="4" builtinId="24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36</xdr:row>
      <xdr:rowOff>0</xdr:rowOff>
    </xdr:from>
    <xdr:to>
      <xdr:col>7</xdr:col>
      <xdr:colOff>304800</xdr:colOff>
      <xdr:row>37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76217F4-54DD-2764-E4E5-1C6BEFA5EBBC}"/>
            </a:ext>
          </a:extLst>
        </xdr:cNvPr>
        <xdr:cNvSpPr>
          <a:spLocks noChangeAspect="1" noChangeArrowheads="1"/>
        </xdr:cNvSpPr>
      </xdr:nvSpPr>
      <xdr:spPr bwMode="auto">
        <a:xfrm>
          <a:off x="6072188" y="66341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100013</xdr:colOff>
      <xdr:row>49</xdr:row>
      <xdr:rowOff>114299</xdr:rowOff>
    </xdr:from>
    <xdr:to>
      <xdr:col>13</xdr:col>
      <xdr:colOff>210959</xdr:colOff>
      <xdr:row>53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D68204-D59E-3ECE-7664-CED1F5A2C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6" y="9115424"/>
          <a:ext cx="7549971" cy="73342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46</xdr:row>
      <xdr:rowOff>61912</xdr:rowOff>
    </xdr:from>
    <xdr:to>
      <xdr:col>15</xdr:col>
      <xdr:colOff>428953</xdr:colOff>
      <xdr:row>50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D7AC66-20E1-4231-E0C3-AF2E0FB3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3813" y="8505825"/>
          <a:ext cx="9087178" cy="69532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257173</xdr:colOff>
      <xdr:row>53</xdr:row>
      <xdr:rowOff>128588</xdr:rowOff>
    </xdr:from>
    <xdr:to>
      <xdr:col>11</xdr:col>
      <xdr:colOff>442912</xdr:colOff>
      <xdr:row>70</xdr:row>
      <xdr:rowOff>170813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8FB093-6D3E-2C85-68A2-FDDBF9DAA2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50" r="8626" b="8719"/>
        <a:stretch>
          <a:fillRect/>
        </a:stretch>
      </xdr:blipFill>
      <xdr:spPr>
        <a:xfrm>
          <a:off x="4014786" y="9853613"/>
          <a:ext cx="6329364" cy="314261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4"/>
  <sheetViews>
    <sheetView tabSelected="1" topLeftCell="A72" workbookViewId="0">
      <selection activeCell="K80" sqref="K80"/>
    </sheetView>
  </sheetViews>
  <sheetFormatPr defaultRowHeight="14.25" x14ac:dyDescent="0.45"/>
  <cols>
    <col min="1" max="1" width="4.53125" customWidth="1"/>
    <col min="2" max="2" width="33.1328125" customWidth="1"/>
    <col min="3" max="3" width="8.53125" customWidth="1"/>
    <col min="4" max="4" width="6.3984375" customWidth="1"/>
    <col min="5" max="5" width="22.3984375" customWidth="1"/>
    <col min="6" max="6" width="7.796875" customWidth="1"/>
    <col min="8" max="8" width="19.53125" customWidth="1"/>
  </cols>
  <sheetData>
    <row r="1" spans="2:10" ht="14.65" thickBot="1" x14ac:dyDescent="0.5"/>
    <row r="2" spans="2:10" ht="19.5" customHeight="1" thickBot="1" x14ac:dyDescent="0.5">
      <c r="B2" s="26" t="s">
        <v>3</v>
      </c>
      <c r="C2" s="27"/>
      <c r="D2" s="27"/>
      <c r="E2" s="27"/>
      <c r="F2" s="27"/>
      <c r="G2" s="27"/>
      <c r="H2" s="27"/>
      <c r="I2" s="27"/>
      <c r="J2" s="28"/>
    </row>
    <row r="3" spans="2:10" ht="14.65" thickBot="1" x14ac:dyDescent="0.5">
      <c r="B3" s="29" t="s">
        <v>0</v>
      </c>
      <c r="C3" s="30"/>
      <c r="D3" s="8"/>
      <c r="E3" s="30" t="s">
        <v>11</v>
      </c>
      <c r="F3" s="30"/>
      <c r="G3" s="8"/>
      <c r="H3" s="30" t="s">
        <v>15</v>
      </c>
      <c r="I3" s="30"/>
      <c r="J3" s="9"/>
    </row>
    <row r="4" spans="2:10" ht="14.65" thickTop="1" x14ac:dyDescent="0.45">
      <c r="B4" s="2" t="s">
        <v>1</v>
      </c>
      <c r="C4" s="10">
        <v>7.83</v>
      </c>
      <c r="D4" s="11" t="s">
        <v>2</v>
      </c>
      <c r="E4" t="s">
        <v>12</v>
      </c>
      <c r="F4" s="3">
        <f>C8*(C4)</f>
        <v>70.47</v>
      </c>
      <c r="G4" s="11" t="s">
        <v>13</v>
      </c>
      <c r="H4" t="s">
        <v>16</v>
      </c>
      <c r="I4" s="18">
        <f>C6*C11</f>
        <v>328.08950740312991</v>
      </c>
      <c r="J4" s="15" t="s">
        <v>13</v>
      </c>
    </row>
    <row r="5" spans="2:10" x14ac:dyDescent="0.45">
      <c r="B5" s="2" t="s">
        <v>36</v>
      </c>
      <c r="C5" s="10">
        <f>0.45*21</f>
        <v>9.4500000000000011</v>
      </c>
      <c r="D5" s="11" t="s">
        <v>33</v>
      </c>
      <c r="E5" t="s">
        <v>79</v>
      </c>
      <c r="F5" s="18">
        <f>F4*C7</f>
        <v>17.6175</v>
      </c>
      <c r="G5" s="11" t="s">
        <v>13</v>
      </c>
      <c r="H5" t="s">
        <v>17</v>
      </c>
      <c r="I5" s="19">
        <f>I4*C10</f>
        <v>213.25817981203446</v>
      </c>
      <c r="J5" s="15" t="s">
        <v>13</v>
      </c>
    </row>
    <row r="6" spans="2:10" x14ac:dyDescent="0.45">
      <c r="B6" s="2" t="s">
        <v>4</v>
      </c>
      <c r="C6" s="18">
        <f>C5*0.86796165979664</f>
        <v>8.2022376850782486</v>
      </c>
      <c r="D6" s="11" t="s">
        <v>13</v>
      </c>
      <c r="E6" t="s">
        <v>14</v>
      </c>
      <c r="F6" s="12">
        <f>(F4+F5)*C9</f>
        <v>132.13125000000002</v>
      </c>
      <c r="G6" s="11" t="s">
        <v>13</v>
      </c>
      <c r="J6" s="1"/>
    </row>
    <row r="7" spans="2:10" x14ac:dyDescent="0.45">
      <c r="B7" s="2" t="s">
        <v>5</v>
      </c>
      <c r="C7" s="10">
        <v>0.25</v>
      </c>
      <c r="D7" s="11"/>
      <c r="J7" s="1"/>
    </row>
    <row r="8" spans="2:10" x14ac:dyDescent="0.45">
      <c r="B8" s="2" t="s">
        <v>9</v>
      </c>
      <c r="C8" s="10">
        <v>9</v>
      </c>
      <c r="D8" s="11" t="s">
        <v>10</v>
      </c>
      <c r="J8" s="1"/>
    </row>
    <row r="9" spans="2:10" ht="14.65" thickBot="1" x14ac:dyDescent="0.5">
      <c r="B9" s="2" t="s">
        <v>6</v>
      </c>
      <c r="C9" s="10">
        <v>1.5</v>
      </c>
      <c r="J9" s="1"/>
    </row>
    <row r="10" spans="2:10" x14ac:dyDescent="0.45">
      <c r="B10" s="2" t="s">
        <v>8</v>
      </c>
      <c r="C10" s="10">
        <v>0.65</v>
      </c>
      <c r="D10" s="11"/>
      <c r="E10" s="31" t="s">
        <v>18</v>
      </c>
      <c r="F10" s="32"/>
      <c r="G10" s="33"/>
      <c r="H10" s="37">
        <f>(I5/F6) - 1</f>
        <v>0.61398745423232137</v>
      </c>
      <c r="I10" s="38"/>
      <c r="J10" s="39"/>
    </row>
    <row r="11" spans="2:10" ht="14.65" thickBot="1" x14ac:dyDescent="0.5">
      <c r="B11" s="4" t="s">
        <v>7</v>
      </c>
      <c r="C11" s="5">
        <v>40</v>
      </c>
      <c r="D11" s="6"/>
      <c r="E11" s="34"/>
      <c r="F11" s="35"/>
      <c r="G11" s="36"/>
      <c r="H11" s="40"/>
      <c r="I11" s="41"/>
      <c r="J11" s="42"/>
    </row>
    <row r="14" spans="2:10" ht="14.65" thickBot="1" x14ac:dyDescent="0.5"/>
    <row r="15" spans="2:10" ht="14.65" thickBot="1" x14ac:dyDescent="0.5">
      <c r="B15" s="26" t="s">
        <v>66</v>
      </c>
      <c r="C15" s="27"/>
      <c r="D15" s="27"/>
      <c r="E15" s="27"/>
      <c r="F15" s="27"/>
      <c r="G15" s="27"/>
      <c r="H15" s="27"/>
      <c r="I15" s="27"/>
      <c r="J15" s="28"/>
    </row>
    <row r="16" spans="2:10" ht="14.65" thickBot="1" x14ac:dyDescent="0.5">
      <c r="B16" s="29" t="s">
        <v>0</v>
      </c>
      <c r="C16" s="30"/>
      <c r="D16" s="8"/>
      <c r="E16" s="30" t="s">
        <v>11</v>
      </c>
      <c r="F16" s="30"/>
      <c r="G16" s="8"/>
      <c r="H16" s="30" t="s">
        <v>15</v>
      </c>
      <c r="I16" s="30"/>
      <c r="J16" s="9"/>
    </row>
    <row r="17" spans="2:10" ht="14.65" thickTop="1" x14ac:dyDescent="0.45">
      <c r="B17" s="2" t="s">
        <v>67</v>
      </c>
      <c r="C17" s="10">
        <v>1</v>
      </c>
      <c r="D17" s="11" t="s">
        <v>10</v>
      </c>
      <c r="E17" t="s">
        <v>73</v>
      </c>
      <c r="F17" s="18">
        <f>C18*C17</f>
        <v>0.75</v>
      </c>
      <c r="G17" s="11" t="s">
        <v>74</v>
      </c>
      <c r="H17" t="s">
        <v>16</v>
      </c>
      <c r="I17" s="18">
        <f>C20</f>
        <v>8.6796165979663993</v>
      </c>
      <c r="J17" s="15" t="s">
        <v>13</v>
      </c>
    </row>
    <row r="18" spans="2:10" x14ac:dyDescent="0.45">
      <c r="B18" s="2" t="s">
        <v>77</v>
      </c>
      <c r="C18" s="10">
        <v>0.75</v>
      </c>
      <c r="E18" t="s">
        <v>75</v>
      </c>
      <c r="F18" s="18">
        <f>F17*C21</f>
        <v>0.9375</v>
      </c>
      <c r="G18" s="11" t="s">
        <v>76</v>
      </c>
      <c r="H18" t="s">
        <v>17</v>
      </c>
      <c r="I18" s="19">
        <f>I17</f>
        <v>8.6796165979663993</v>
      </c>
      <c r="J18" s="15" t="s">
        <v>13</v>
      </c>
    </row>
    <row r="19" spans="2:10" x14ac:dyDescent="0.45">
      <c r="B19" s="2" t="s">
        <v>68</v>
      </c>
      <c r="C19" s="3">
        <v>10</v>
      </c>
      <c r="D19" s="11" t="s">
        <v>33</v>
      </c>
      <c r="E19" t="s">
        <v>11</v>
      </c>
      <c r="F19" s="19">
        <f>((F18/COS(RADIANS(C23)))*C24*SIN(RADIANS(C22)))*C25</f>
        <v>1.8194062500000001</v>
      </c>
      <c r="G19" s="11" t="s">
        <v>13</v>
      </c>
      <c r="J19" s="1"/>
    </row>
    <row r="20" spans="2:10" x14ac:dyDescent="0.45">
      <c r="B20" s="2" t="s">
        <v>69</v>
      </c>
      <c r="C20" s="18">
        <f>C19*0.86796165979664</f>
        <v>8.6796165979663993</v>
      </c>
      <c r="D20" s="11" t="s">
        <v>13</v>
      </c>
      <c r="G20" s="11"/>
      <c r="J20" s="1"/>
    </row>
    <row r="21" spans="2:10" x14ac:dyDescent="0.45">
      <c r="B21" s="2" t="s">
        <v>78</v>
      </c>
      <c r="C21" s="20">
        <v>1.25</v>
      </c>
      <c r="D21" s="11"/>
      <c r="J21" s="1"/>
    </row>
    <row r="22" spans="2:10" x14ac:dyDescent="0.45">
      <c r="B22" s="2" t="s">
        <v>70</v>
      </c>
      <c r="C22" s="20">
        <v>90</v>
      </c>
      <c r="D22" s="11" t="s">
        <v>24</v>
      </c>
      <c r="J22" s="1"/>
    </row>
    <row r="23" spans="2:10" ht="14.65" thickBot="1" x14ac:dyDescent="0.5">
      <c r="B23" s="2" t="s">
        <v>72</v>
      </c>
      <c r="C23" s="20">
        <v>0</v>
      </c>
      <c r="D23" s="11" t="s">
        <v>24</v>
      </c>
      <c r="J23" s="1"/>
    </row>
    <row r="24" spans="2:10" x14ac:dyDescent="0.45">
      <c r="B24" s="2" t="s">
        <v>71</v>
      </c>
      <c r="C24" s="20">
        <v>1.2938000000000001</v>
      </c>
      <c r="D24" s="11" t="s">
        <v>2</v>
      </c>
      <c r="E24" s="31" t="s">
        <v>18</v>
      </c>
      <c r="F24" s="32"/>
      <c r="G24" s="33"/>
      <c r="H24" s="43">
        <f>(I18/F19) - 1</f>
        <v>3.7705764438076423</v>
      </c>
      <c r="I24" s="44"/>
      <c r="J24" s="45"/>
    </row>
    <row r="25" spans="2:10" ht="14.65" thickBot="1" x14ac:dyDescent="0.5">
      <c r="B25" s="4" t="s">
        <v>6</v>
      </c>
      <c r="C25" s="21">
        <v>1.5</v>
      </c>
      <c r="D25" s="6"/>
      <c r="E25" s="34"/>
      <c r="F25" s="35"/>
      <c r="G25" s="36"/>
      <c r="H25" s="46"/>
      <c r="I25" s="47"/>
      <c r="J25" s="48"/>
    </row>
    <row r="27" spans="2:10" x14ac:dyDescent="0.45">
      <c r="B27" s="55" t="e" vm="1">
        <v>#VALUE!</v>
      </c>
      <c r="C27" s="55"/>
      <c r="D27" s="55"/>
      <c r="E27" s="55"/>
      <c r="F27" s="55"/>
      <c r="G27" s="55"/>
      <c r="H27" s="55"/>
      <c r="I27" s="55"/>
      <c r="J27" s="55"/>
    </row>
    <row r="28" spans="2:10" x14ac:dyDescent="0.45">
      <c r="B28" s="55"/>
      <c r="C28" s="55"/>
      <c r="D28" s="55"/>
      <c r="E28" s="55"/>
      <c r="F28" s="55"/>
      <c r="G28" s="55"/>
      <c r="H28" s="55"/>
      <c r="I28" s="55"/>
      <c r="J28" s="55"/>
    </row>
    <row r="29" spans="2:10" x14ac:dyDescent="0.45">
      <c r="B29" s="55"/>
      <c r="C29" s="55"/>
      <c r="D29" s="55"/>
      <c r="E29" s="55"/>
      <c r="F29" s="55"/>
      <c r="G29" s="55"/>
      <c r="H29" s="55"/>
      <c r="I29" s="55"/>
      <c r="J29" s="55"/>
    </row>
    <row r="30" spans="2:10" x14ac:dyDescent="0.45">
      <c r="B30" s="55"/>
      <c r="C30" s="55"/>
      <c r="D30" s="55"/>
      <c r="E30" s="55"/>
      <c r="F30" s="55"/>
      <c r="G30" s="55"/>
      <c r="H30" s="55"/>
      <c r="I30" s="55"/>
      <c r="J30" s="55"/>
    </row>
    <row r="31" spans="2:10" x14ac:dyDescent="0.45">
      <c r="B31" s="55"/>
      <c r="C31" s="55"/>
      <c r="D31" s="55"/>
      <c r="E31" s="55"/>
      <c r="F31" s="55"/>
      <c r="G31" s="55"/>
      <c r="H31" s="55"/>
      <c r="I31" s="55"/>
      <c r="J31" s="55"/>
    </row>
    <row r="32" spans="2:10" x14ac:dyDescent="0.45">
      <c r="B32" s="55"/>
      <c r="C32" s="55"/>
      <c r="D32" s="55"/>
      <c r="E32" s="55"/>
      <c r="F32" s="55"/>
      <c r="G32" s="55"/>
      <c r="H32" s="55"/>
      <c r="I32" s="55"/>
      <c r="J32" s="55"/>
    </row>
    <row r="33" spans="2:10" x14ac:dyDescent="0.45">
      <c r="B33" s="55"/>
      <c r="C33" s="55"/>
      <c r="D33" s="55"/>
      <c r="E33" s="55"/>
      <c r="F33" s="55"/>
      <c r="G33" s="55"/>
      <c r="H33" s="55"/>
      <c r="I33" s="55"/>
      <c r="J33" s="55"/>
    </row>
    <row r="34" spans="2:10" x14ac:dyDescent="0.45">
      <c r="B34" s="55"/>
      <c r="C34" s="55"/>
      <c r="D34" s="55"/>
      <c r="E34" s="55"/>
      <c r="F34" s="55"/>
      <c r="G34" s="55"/>
      <c r="H34" s="55"/>
      <c r="I34" s="55"/>
      <c r="J34" s="55"/>
    </row>
    <row r="35" spans="2:10" x14ac:dyDescent="0.45">
      <c r="B35" s="55"/>
      <c r="C35" s="55"/>
      <c r="D35" s="55"/>
      <c r="E35" s="55"/>
      <c r="F35" s="55"/>
      <c r="G35" s="55"/>
      <c r="H35" s="55"/>
      <c r="I35" s="55"/>
      <c r="J35" s="55"/>
    </row>
    <row r="36" spans="2:10" x14ac:dyDescent="0.45">
      <c r="B36" s="55"/>
      <c r="C36" s="55"/>
      <c r="D36" s="55"/>
      <c r="E36" s="55"/>
      <c r="F36" s="55"/>
      <c r="G36" s="55"/>
      <c r="H36" s="55"/>
      <c r="I36" s="55"/>
      <c r="J36" s="55"/>
    </row>
    <row r="37" spans="2:10" x14ac:dyDescent="0.45">
      <c r="B37" s="55"/>
      <c r="C37" s="55"/>
      <c r="D37" s="55"/>
      <c r="E37" s="55"/>
      <c r="F37" s="55"/>
      <c r="G37" s="55"/>
      <c r="H37" s="55"/>
      <c r="I37" s="55"/>
      <c r="J37" s="55"/>
    </row>
    <row r="38" spans="2:10" x14ac:dyDescent="0.45">
      <c r="B38" s="55"/>
      <c r="C38" s="55"/>
      <c r="D38" s="55"/>
      <c r="E38" s="55"/>
      <c r="F38" s="55"/>
      <c r="G38" s="55"/>
      <c r="H38" s="55"/>
      <c r="I38" s="55"/>
      <c r="J38" s="55"/>
    </row>
    <row r="39" spans="2:10" x14ac:dyDescent="0.45">
      <c r="B39" s="55"/>
      <c r="C39" s="55"/>
      <c r="D39" s="55"/>
      <c r="E39" s="55"/>
      <c r="F39" s="55"/>
      <c r="G39" s="55"/>
      <c r="H39" s="55"/>
      <c r="I39" s="55"/>
      <c r="J39" s="55"/>
    </row>
    <row r="40" spans="2:10" x14ac:dyDescent="0.45">
      <c r="B40" s="55"/>
      <c r="C40" s="55"/>
      <c r="D40" s="55"/>
      <c r="E40" s="55"/>
      <c r="F40" s="55"/>
      <c r="G40" s="55"/>
      <c r="H40" s="55"/>
      <c r="I40" s="55"/>
      <c r="J40" s="55"/>
    </row>
    <row r="41" spans="2:10" x14ac:dyDescent="0.45">
      <c r="B41" s="55"/>
      <c r="C41" s="55"/>
      <c r="D41" s="55"/>
      <c r="E41" s="55"/>
      <c r="F41" s="55"/>
      <c r="G41" s="55"/>
      <c r="H41" s="55"/>
      <c r="I41" s="55"/>
      <c r="J41" s="55"/>
    </row>
    <row r="42" spans="2:10" x14ac:dyDescent="0.45">
      <c r="B42" s="55"/>
      <c r="C42" s="55"/>
      <c r="D42" s="55"/>
      <c r="E42" s="55"/>
      <c r="F42" s="55"/>
      <c r="G42" s="55"/>
      <c r="H42" s="55"/>
      <c r="I42" s="55"/>
      <c r="J42" s="55"/>
    </row>
    <row r="43" spans="2:10" x14ac:dyDescent="0.45">
      <c r="B43" s="55"/>
      <c r="C43" s="55"/>
      <c r="D43" s="55"/>
      <c r="E43" s="55"/>
      <c r="F43" s="55"/>
      <c r="G43" s="55"/>
      <c r="H43" s="55"/>
      <c r="I43" s="55"/>
      <c r="J43" s="55"/>
    </row>
    <row r="44" spans="2:10" x14ac:dyDescent="0.45">
      <c r="B44" s="55"/>
      <c r="C44" s="55"/>
      <c r="D44" s="55"/>
      <c r="E44" s="55"/>
      <c r="F44" s="55"/>
      <c r="G44" s="55"/>
      <c r="H44" s="55"/>
      <c r="I44" s="55"/>
      <c r="J44" s="55"/>
    </row>
    <row r="47" spans="2:10" ht="14.65" thickBot="1" x14ac:dyDescent="0.5"/>
    <row r="48" spans="2:10" ht="14.65" thickBot="1" x14ac:dyDescent="0.5">
      <c r="B48" s="49" t="s">
        <v>80</v>
      </c>
      <c r="C48" s="50"/>
      <c r="D48" s="51"/>
      <c r="E48" s="11"/>
      <c r="F48" s="11"/>
      <c r="G48" s="11"/>
      <c r="H48" s="11"/>
      <c r="I48" s="11"/>
      <c r="J48" s="11"/>
    </row>
    <row r="49" spans="2:4" ht="14.65" thickBot="1" x14ac:dyDescent="0.5">
      <c r="B49" s="52" t="s">
        <v>81</v>
      </c>
      <c r="C49" s="53"/>
      <c r="D49" s="54"/>
    </row>
    <row r="50" spans="2:4" x14ac:dyDescent="0.45">
      <c r="B50" s="2" t="s">
        <v>82</v>
      </c>
      <c r="C50" s="10">
        <v>2</v>
      </c>
      <c r="D50" s="15" t="s">
        <v>50</v>
      </c>
    </row>
    <row r="51" spans="2:4" x14ac:dyDescent="0.45">
      <c r="B51" s="2" t="s">
        <v>83</v>
      </c>
      <c r="C51" s="10">
        <v>18</v>
      </c>
      <c r="D51" s="15" t="s">
        <v>84</v>
      </c>
    </row>
    <row r="52" spans="2:4" x14ac:dyDescent="0.45">
      <c r="B52" s="2" t="s">
        <v>89</v>
      </c>
      <c r="C52" s="10">
        <v>16.13</v>
      </c>
      <c r="D52" s="15" t="s">
        <v>50</v>
      </c>
    </row>
    <row r="53" spans="2:4" x14ac:dyDescent="0.45">
      <c r="B53" s="2" t="s">
        <v>90</v>
      </c>
      <c r="C53" s="10">
        <v>11.46</v>
      </c>
      <c r="D53" s="15" t="s">
        <v>50</v>
      </c>
    </row>
    <row r="54" spans="2:4" ht="14.65" thickBot="1" x14ac:dyDescent="0.5">
      <c r="B54" s="2"/>
      <c r="D54" s="1"/>
    </row>
    <row r="55" spans="2:4" ht="14.65" thickBot="1" x14ac:dyDescent="0.5">
      <c r="B55" s="52" t="s">
        <v>85</v>
      </c>
      <c r="C55" s="53"/>
      <c r="D55" s="54"/>
    </row>
    <row r="56" spans="2:4" x14ac:dyDescent="0.45">
      <c r="B56" s="2" t="s">
        <v>82</v>
      </c>
      <c r="C56" s="10">
        <v>2</v>
      </c>
      <c r="D56" s="15" t="s">
        <v>50</v>
      </c>
    </row>
    <row r="57" spans="2:4" x14ac:dyDescent="0.45">
      <c r="B57" s="2" t="s">
        <v>83</v>
      </c>
      <c r="C57" s="10">
        <v>40</v>
      </c>
      <c r="D57" s="15" t="s">
        <v>84</v>
      </c>
    </row>
    <row r="58" spans="2:4" x14ac:dyDescent="0.45">
      <c r="B58" s="2" t="s">
        <v>89</v>
      </c>
      <c r="C58" s="10">
        <v>30.73</v>
      </c>
      <c r="D58" s="15" t="s">
        <v>50</v>
      </c>
    </row>
    <row r="59" spans="2:4" x14ac:dyDescent="0.45">
      <c r="B59" s="2" t="s">
        <v>90</v>
      </c>
      <c r="C59" s="10">
        <v>25.48</v>
      </c>
      <c r="D59" s="15" t="s">
        <v>50</v>
      </c>
    </row>
    <row r="60" spans="2:4" ht="14.65" thickBot="1" x14ac:dyDescent="0.5">
      <c r="B60" s="2"/>
      <c r="D60" s="1"/>
    </row>
    <row r="61" spans="2:4" ht="14.65" thickBot="1" x14ac:dyDescent="0.5">
      <c r="B61" s="52" t="s">
        <v>86</v>
      </c>
      <c r="C61" s="53"/>
      <c r="D61" s="54"/>
    </row>
    <row r="62" spans="2:4" x14ac:dyDescent="0.45">
      <c r="B62" s="2" t="s">
        <v>82</v>
      </c>
      <c r="C62" s="10">
        <v>2</v>
      </c>
      <c r="D62" s="15" t="s">
        <v>50</v>
      </c>
    </row>
    <row r="63" spans="2:4" x14ac:dyDescent="0.45">
      <c r="B63" s="2" t="s">
        <v>87</v>
      </c>
      <c r="C63" s="10">
        <v>228</v>
      </c>
      <c r="D63" s="15" t="s">
        <v>84</v>
      </c>
    </row>
    <row r="64" spans="2:4" x14ac:dyDescent="0.45">
      <c r="B64" s="2" t="s">
        <v>88</v>
      </c>
      <c r="C64" s="3">
        <f>C62*C63</f>
        <v>456</v>
      </c>
      <c r="D64" s="15" t="s">
        <v>50</v>
      </c>
    </row>
    <row r="65" spans="2:4" x14ac:dyDescent="0.45">
      <c r="B65" s="2" t="s">
        <v>92</v>
      </c>
      <c r="C65" s="3">
        <f>(PI()/2)*(C53+C59)</f>
        <v>58.025216311803476</v>
      </c>
      <c r="D65" s="15" t="s">
        <v>50</v>
      </c>
    </row>
    <row r="66" spans="2:4" x14ac:dyDescent="0.45">
      <c r="B66" s="2" t="s">
        <v>91</v>
      </c>
      <c r="C66" s="3">
        <f>C64-C65</f>
        <v>397.97478368819651</v>
      </c>
      <c r="D66" s="15" t="s">
        <v>50</v>
      </c>
    </row>
    <row r="67" spans="2:4" x14ac:dyDescent="0.45">
      <c r="B67" s="2" t="s">
        <v>93</v>
      </c>
      <c r="C67" s="3">
        <f>(C59-C53)^2</f>
        <v>196.56039999999999</v>
      </c>
      <c r="D67" s="15" t="s">
        <v>96</v>
      </c>
    </row>
    <row r="68" spans="2:4" x14ac:dyDescent="0.45">
      <c r="B68" s="2" t="s">
        <v>94</v>
      </c>
      <c r="C68" s="3">
        <f>SQRT((C66^2) -(2*C67) )</f>
        <v>397.48057518785345</v>
      </c>
      <c r="D68" s="15" t="s">
        <v>50</v>
      </c>
    </row>
    <row r="69" spans="2:4" x14ac:dyDescent="0.45">
      <c r="B69" s="2" t="s">
        <v>95</v>
      </c>
      <c r="C69" s="3">
        <f>(C66+C68)/(4)</f>
        <v>198.8638397190125</v>
      </c>
      <c r="D69" s="15" t="s">
        <v>50</v>
      </c>
    </row>
    <row r="70" spans="2:4" ht="14.65" thickBot="1" x14ac:dyDescent="0.5">
      <c r="B70" s="4" t="s">
        <v>95</v>
      </c>
      <c r="C70" s="24">
        <f>C69/25.4</f>
        <v>7.829285028307579</v>
      </c>
      <c r="D70" s="25" t="s">
        <v>2</v>
      </c>
    </row>
    <row r="72" spans="2:4" ht="14.65" thickBot="1" x14ac:dyDescent="0.5"/>
    <row r="73" spans="2:4" ht="14.65" thickBot="1" x14ac:dyDescent="0.5">
      <c r="B73" s="49" t="s">
        <v>97</v>
      </c>
      <c r="C73" s="50"/>
      <c r="D73" s="51"/>
    </row>
    <row r="74" spans="2:4" x14ac:dyDescent="0.45">
      <c r="B74" s="59" t="s">
        <v>98</v>
      </c>
      <c r="C74" s="60">
        <f>28*10^6</f>
        <v>28000000</v>
      </c>
      <c r="D74" s="61" t="s">
        <v>100</v>
      </c>
    </row>
    <row r="75" spans="2:4" x14ac:dyDescent="0.45">
      <c r="B75" s="2" t="s">
        <v>99</v>
      </c>
      <c r="C75" s="62">
        <v>0.28899999999999998</v>
      </c>
      <c r="D75" s="15" t="s">
        <v>101</v>
      </c>
    </row>
    <row r="76" spans="2:4" x14ac:dyDescent="0.45">
      <c r="B76" s="2" t="s">
        <v>102</v>
      </c>
      <c r="C76" s="62">
        <v>0.25</v>
      </c>
      <c r="D76" s="15" t="s">
        <v>2</v>
      </c>
    </row>
    <row r="77" spans="2:4" x14ac:dyDescent="0.45">
      <c r="B77" s="2" t="s">
        <v>103</v>
      </c>
      <c r="C77" s="62">
        <v>10.26</v>
      </c>
      <c r="D77" s="15" t="s">
        <v>2</v>
      </c>
    </row>
    <row r="78" spans="2:4" x14ac:dyDescent="0.45">
      <c r="B78" s="2" t="s">
        <v>106</v>
      </c>
      <c r="C78" s="10">
        <v>2</v>
      </c>
      <c r="D78" s="15" t="s">
        <v>32</v>
      </c>
    </row>
    <row r="79" spans="2:4" x14ac:dyDescent="0.45">
      <c r="B79" s="2"/>
      <c r="D79" s="15"/>
    </row>
    <row r="80" spans="2:4" x14ac:dyDescent="0.45">
      <c r="B80" s="66" t="s">
        <v>109</v>
      </c>
      <c r="C80" s="3">
        <f>(PI()*C76^2)/(4)</f>
        <v>4.9087385212340517E-2</v>
      </c>
      <c r="D80" s="64" t="s">
        <v>111</v>
      </c>
    </row>
    <row r="81" spans="2:4" x14ac:dyDescent="0.45">
      <c r="B81" s="66" t="s">
        <v>110</v>
      </c>
      <c r="C81" s="3">
        <f>C80*C77</f>
        <v>0.50363657227861369</v>
      </c>
      <c r="D81" s="64" t="s">
        <v>112</v>
      </c>
    </row>
    <row r="82" spans="2:4" x14ac:dyDescent="0.45">
      <c r="B82" s="67" t="s">
        <v>108</v>
      </c>
      <c r="C82" s="12">
        <f>C75*C81</f>
        <v>0.14555096938851936</v>
      </c>
      <c r="D82" s="15" t="s">
        <v>32</v>
      </c>
    </row>
    <row r="83" spans="2:4" x14ac:dyDescent="0.45">
      <c r="B83" s="2" t="s">
        <v>104</v>
      </c>
      <c r="C83" s="63">
        <f>(PI()*POWER(C76,4)) / 64</f>
        <v>1.9174759848570515E-4</v>
      </c>
      <c r="D83" s="64" t="s">
        <v>105</v>
      </c>
    </row>
    <row r="84" spans="2:4" ht="14.65" thickBot="1" x14ac:dyDescent="0.5">
      <c r="B84" s="68" t="s">
        <v>107</v>
      </c>
      <c r="C84" s="24">
        <f>(C78*(POWER(C77,3)))/(3*C74*C83)</f>
        <v>0.13411052373133084</v>
      </c>
      <c r="D84" s="65" t="s">
        <v>2</v>
      </c>
    </row>
  </sheetData>
  <mergeCells count="18">
    <mergeCell ref="B73:D73"/>
    <mergeCell ref="B48:D48"/>
    <mergeCell ref="B49:D49"/>
    <mergeCell ref="B55:D55"/>
    <mergeCell ref="B61:D61"/>
    <mergeCell ref="B27:J44"/>
    <mergeCell ref="B15:J15"/>
    <mergeCell ref="B16:C16"/>
    <mergeCell ref="E16:F16"/>
    <mergeCell ref="H16:I16"/>
    <mergeCell ref="E24:G25"/>
    <mergeCell ref="H24:J25"/>
    <mergeCell ref="B2:J2"/>
    <mergeCell ref="B3:C3"/>
    <mergeCell ref="E3:F3"/>
    <mergeCell ref="H3:I3"/>
    <mergeCell ref="E10:G11"/>
    <mergeCell ref="H10:J11"/>
  </mergeCells>
  <conditionalFormatting sqref="H10"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H24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B863-90E6-4BDF-AAE7-F61BAAA3FB65}">
  <dimension ref="B1:J29"/>
  <sheetViews>
    <sheetView zoomScale="90" zoomScaleNormal="90" workbookViewId="0">
      <selection activeCell="B17" sqref="B17:G29"/>
    </sheetView>
  </sheetViews>
  <sheetFormatPr defaultRowHeight="14.25" x14ac:dyDescent="0.45"/>
  <cols>
    <col min="1" max="1" width="3.9296875" customWidth="1"/>
    <col min="2" max="2" width="23.53125" customWidth="1"/>
    <col min="4" max="4" width="10.265625" customWidth="1"/>
    <col min="5" max="5" width="36.33203125" customWidth="1"/>
    <col min="8" max="8" width="20.46484375" customWidth="1"/>
  </cols>
  <sheetData>
    <row r="1" spans="2:10" ht="14.65" thickBot="1" x14ac:dyDescent="0.5"/>
    <row r="2" spans="2:10" ht="14.65" thickBot="1" x14ac:dyDescent="0.5">
      <c r="B2" s="49" t="s">
        <v>19</v>
      </c>
      <c r="C2" s="50"/>
      <c r="D2" s="50"/>
      <c r="E2" s="50"/>
      <c r="F2" s="50"/>
      <c r="G2" s="50"/>
      <c r="H2" s="50"/>
      <c r="I2" s="50"/>
      <c r="J2" s="51"/>
    </row>
    <row r="3" spans="2:10" ht="14.65" thickBot="1" x14ac:dyDescent="0.5">
      <c r="B3" s="56" t="s">
        <v>30</v>
      </c>
      <c r="C3" s="57"/>
      <c r="D3" s="8"/>
      <c r="E3" s="56" t="s">
        <v>44</v>
      </c>
      <c r="F3" s="57"/>
      <c r="G3" s="8"/>
      <c r="H3" s="56" t="s">
        <v>45</v>
      </c>
      <c r="I3" s="57"/>
      <c r="J3" s="9"/>
    </row>
    <row r="4" spans="2:10" ht="14.65" thickBot="1" x14ac:dyDescent="0.5">
      <c r="B4" s="2" t="s">
        <v>20</v>
      </c>
      <c r="C4" s="16">
        <f>4.6/2</f>
        <v>2.2999999999999998</v>
      </c>
      <c r="D4" s="11" t="s">
        <v>2</v>
      </c>
      <c r="E4" t="s">
        <v>37</v>
      </c>
      <c r="F4" s="23">
        <f>C15*SIN(RADIANS(C5))</f>
        <v>2.5051158172811778</v>
      </c>
      <c r="G4" s="11" t="s">
        <v>32</v>
      </c>
      <c r="H4" t="s">
        <v>46</v>
      </c>
      <c r="I4" s="22">
        <f>C10</f>
        <v>8.2022376850782486</v>
      </c>
      <c r="J4" s="15" t="s">
        <v>43</v>
      </c>
    </row>
    <row r="5" spans="2:10" ht="14.65" thickTop="1" x14ac:dyDescent="0.45">
      <c r="B5" s="2" t="s">
        <v>21</v>
      </c>
      <c r="C5" s="10">
        <v>8</v>
      </c>
      <c r="D5" s="11" t="s">
        <v>24</v>
      </c>
      <c r="E5" t="s">
        <v>38</v>
      </c>
      <c r="F5" s="18">
        <f>C13*C15*COS(RADIANS(C5))</f>
        <v>2.6737237856022396</v>
      </c>
      <c r="G5" s="11" t="s">
        <v>32</v>
      </c>
      <c r="H5" s="11" t="s">
        <v>47</v>
      </c>
      <c r="I5" s="19">
        <f>C10*C6*C7</f>
        <v>13.943804064633023</v>
      </c>
      <c r="J5" s="15" t="s">
        <v>43</v>
      </c>
    </row>
    <row r="6" spans="2:10" x14ac:dyDescent="0.45">
      <c r="B6" s="2" t="s">
        <v>22</v>
      </c>
      <c r="C6" s="10">
        <v>2</v>
      </c>
      <c r="E6" t="s">
        <v>39</v>
      </c>
      <c r="F6" s="18">
        <f>(C15/C14)*(C11)</f>
        <v>0.41959346055821478</v>
      </c>
      <c r="G6" s="11" t="s">
        <v>32</v>
      </c>
      <c r="J6" s="1"/>
    </row>
    <row r="7" spans="2:10" x14ac:dyDescent="0.45">
      <c r="B7" s="2" t="s">
        <v>23</v>
      </c>
      <c r="C7" s="10">
        <v>0.85</v>
      </c>
      <c r="E7" t="s">
        <v>40</v>
      </c>
      <c r="F7" s="18">
        <f>SUM(F4:F6)</f>
        <v>5.5984330634416324</v>
      </c>
      <c r="G7" s="11" t="s">
        <v>32</v>
      </c>
      <c r="J7" s="1"/>
    </row>
    <row r="8" spans="2:10" x14ac:dyDescent="0.45">
      <c r="B8" s="2" t="s">
        <v>35</v>
      </c>
      <c r="C8" s="7">
        <v>21</v>
      </c>
      <c r="D8" s="11" t="s">
        <v>33</v>
      </c>
      <c r="E8" t="s">
        <v>41</v>
      </c>
      <c r="F8" s="18">
        <f>F7/2</f>
        <v>2.7992165317208162</v>
      </c>
      <c r="G8" s="11" t="s">
        <v>32</v>
      </c>
      <c r="J8" s="1"/>
    </row>
    <row r="9" spans="2:10" x14ac:dyDescent="0.45">
      <c r="B9" s="2" t="s">
        <v>34</v>
      </c>
      <c r="C9" s="3">
        <f>C8*0.45</f>
        <v>9.4500000000000011</v>
      </c>
      <c r="D9" s="11" t="s">
        <v>33</v>
      </c>
      <c r="E9" s="11" t="s">
        <v>42</v>
      </c>
      <c r="F9" s="19">
        <f>F8*C4*C12</f>
        <v>9.6572970344368141</v>
      </c>
      <c r="G9" s="11" t="s">
        <v>43</v>
      </c>
      <c r="J9" s="1"/>
    </row>
    <row r="10" spans="2:10" x14ac:dyDescent="0.45">
      <c r="B10" s="2" t="s">
        <v>34</v>
      </c>
      <c r="C10" s="18">
        <f>C9*0.86796165979664</f>
        <v>8.2022376850782486</v>
      </c>
      <c r="D10" s="11" t="s">
        <v>43</v>
      </c>
      <c r="E10" s="11"/>
      <c r="G10" s="11"/>
      <c r="J10" s="1"/>
    </row>
    <row r="11" spans="2:10" x14ac:dyDescent="0.45">
      <c r="B11" s="2" t="s">
        <v>26</v>
      </c>
      <c r="C11" s="10">
        <v>0.75</v>
      </c>
      <c r="D11" s="11" t="s">
        <v>27</v>
      </c>
      <c r="J11" s="1"/>
    </row>
    <row r="12" spans="2:10" x14ac:dyDescent="0.45">
      <c r="B12" s="2" t="s">
        <v>25</v>
      </c>
      <c r="C12" s="10">
        <v>1.5</v>
      </c>
      <c r="J12" s="1"/>
    </row>
    <row r="13" spans="2:10" ht="14.65" thickBot="1" x14ac:dyDescent="0.5">
      <c r="B13" s="2" t="s">
        <v>28</v>
      </c>
      <c r="C13" s="10">
        <v>0.15</v>
      </c>
      <c r="J13" s="1"/>
    </row>
    <row r="14" spans="2:10" x14ac:dyDescent="0.45">
      <c r="B14" s="2" t="s">
        <v>29</v>
      </c>
      <c r="C14" s="10">
        <v>32.173999999999999</v>
      </c>
      <c r="D14" s="11" t="s">
        <v>27</v>
      </c>
      <c r="E14" s="31" t="s">
        <v>18</v>
      </c>
      <c r="F14" s="32"/>
      <c r="G14" s="32"/>
      <c r="H14" s="37">
        <f>(I5/F9) - 1</f>
        <v>0.44386198487123418</v>
      </c>
      <c r="I14" s="38"/>
      <c r="J14" s="39"/>
    </row>
    <row r="15" spans="2:10" ht="14.65" thickBot="1" x14ac:dyDescent="0.5">
      <c r="B15" s="4" t="s">
        <v>31</v>
      </c>
      <c r="C15" s="13">
        <v>18</v>
      </c>
      <c r="D15" s="14" t="s">
        <v>32</v>
      </c>
      <c r="E15" s="34"/>
      <c r="F15" s="35"/>
      <c r="G15" s="35"/>
      <c r="H15" s="40"/>
      <c r="I15" s="41"/>
      <c r="J15" s="42"/>
    </row>
    <row r="16" spans="2:10" ht="14.65" thickBot="1" x14ac:dyDescent="0.5"/>
    <row r="17" spans="2:7" ht="14.65" thickBot="1" x14ac:dyDescent="0.5">
      <c r="B17" s="49" t="s">
        <v>48</v>
      </c>
      <c r="C17" s="50"/>
      <c r="D17" s="50"/>
      <c r="E17" s="50"/>
      <c r="F17" s="50"/>
      <c r="G17" s="51"/>
    </row>
    <row r="18" spans="2:7" ht="14.65" thickBot="1" x14ac:dyDescent="0.5">
      <c r="B18" s="56" t="s">
        <v>49</v>
      </c>
      <c r="C18" s="57"/>
      <c r="E18" s="56" t="s">
        <v>58</v>
      </c>
      <c r="F18" s="58"/>
      <c r="G18" s="57"/>
    </row>
    <row r="19" spans="2:7" x14ac:dyDescent="0.45">
      <c r="B19" s="2" t="s">
        <v>62</v>
      </c>
      <c r="C19" s="10">
        <v>1.5</v>
      </c>
      <c r="D19" s="11" t="s">
        <v>50</v>
      </c>
      <c r="E19" t="s">
        <v>64</v>
      </c>
      <c r="F19" s="3">
        <f>(C19/COS(RADIANS(C20)))*C22</f>
        <v>28.732799856849624</v>
      </c>
      <c r="G19" s="15" t="s">
        <v>50</v>
      </c>
    </row>
    <row r="20" spans="2:7" x14ac:dyDescent="0.45">
      <c r="B20" s="2" t="s">
        <v>53</v>
      </c>
      <c r="C20" s="10">
        <v>20</v>
      </c>
      <c r="D20" s="11" t="s">
        <v>24</v>
      </c>
      <c r="E20" t="s">
        <v>65</v>
      </c>
      <c r="F20" s="3">
        <f>(C25/COS(RADIANS(C27)))*C28</f>
        <v>57.465599713699248</v>
      </c>
      <c r="G20" s="15" t="s">
        <v>50</v>
      </c>
    </row>
    <row r="21" spans="2:7" x14ac:dyDescent="0.45">
      <c r="B21" s="2" t="s">
        <v>51</v>
      </c>
      <c r="C21" s="10"/>
      <c r="E21" t="s">
        <v>61</v>
      </c>
      <c r="F21" s="3">
        <f>(F19+F20)/2</f>
        <v>43.099199785274436</v>
      </c>
      <c r="G21" s="15" t="s">
        <v>50</v>
      </c>
    </row>
    <row r="22" spans="2:7" x14ac:dyDescent="0.45">
      <c r="B22" s="2" t="s">
        <v>52</v>
      </c>
      <c r="C22" s="10">
        <v>18</v>
      </c>
      <c r="D22" s="11"/>
      <c r="G22" s="1"/>
    </row>
    <row r="23" spans="2:7" x14ac:dyDescent="0.45">
      <c r="B23" s="2" t="s">
        <v>54</v>
      </c>
      <c r="C23" s="10">
        <v>12</v>
      </c>
      <c r="D23" s="11" t="s">
        <v>50</v>
      </c>
      <c r="G23" s="1"/>
    </row>
    <row r="24" spans="2:7" x14ac:dyDescent="0.45">
      <c r="B24" s="2"/>
      <c r="E24" s="11" t="s">
        <v>59</v>
      </c>
      <c r="F24" s="12">
        <f>F19*0.03937</f>
        <v>1.1312103303641698</v>
      </c>
      <c r="G24" s="15" t="s">
        <v>2</v>
      </c>
    </row>
    <row r="25" spans="2:7" x14ac:dyDescent="0.45">
      <c r="B25" s="2" t="s">
        <v>63</v>
      </c>
      <c r="C25" s="10">
        <v>1.5</v>
      </c>
      <c r="D25" s="11" t="s">
        <v>50</v>
      </c>
      <c r="E25" s="11" t="s">
        <v>60</v>
      </c>
      <c r="F25" s="12">
        <f>F20*0.03937</f>
        <v>2.2624206607283397</v>
      </c>
      <c r="G25" s="15" t="s">
        <v>2</v>
      </c>
    </row>
    <row r="26" spans="2:7" x14ac:dyDescent="0.45">
      <c r="B26" s="2" t="s">
        <v>51</v>
      </c>
      <c r="C26" s="10"/>
      <c r="D26" s="11" t="s">
        <v>24</v>
      </c>
      <c r="E26" s="11" t="s">
        <v>61</v>
      </c>
      <c r="F26" s="12">
        <f>F21*0.03937</f>
        <v>1.6968154955462547</v>
      </c>
      <c r="G26" s="15" t="s">
        <v>2</v>
      </c>
    </row>
    <row r="27" spans="2:7" x14ac:dyDescent="0.45">
      <c r="B27" s="2" t="s">
        <v>55</v>
      </c>
      <c r="C27" s="10">
        <v>20</v>
      </c>
      <c r="D27" s="11" t="s">
        <v>24</v>
      </c>
      <c r="G27" s="1"/>
    </row>
    <row r="28" spans="2:7" x14ac:dyDescent="0.45">
      <c r="B28" s="2" t="s">
        <v>56</v>
      </c>
      <c r="C28" s="10">
        <v>36</v>
      </c>
      <c r="D28" s="11"/>
      <c r="G28" s="1"/>
    </row>
    <row r="29" spans="2:7" ht="14.65" thickBot="1" x14ac:dyDescent="0.5">
      <c r="B29" s="4" t="s">
        <v>57</v>
      </c>
      <c r="C29" s="5">
        <v>12</v>
      </c>
      <c r="D29" s="14" t="s">
        <v>50</v>
      </c>
      <c r="E29" s="6"/>
      <c r="F29" s="6"/>
      <c r="G29" s="17"/>
    </row>
  </sheetData>
  <mergeCells count="9">
    <mergeCell ref="H3:I3"/>
    <mergeCell ref="B2:J2"/>
    <mergeCell ref="E14:G15"/>
    <mergeCell ref="H14:J15"/>
    <mergeCell ref="B18:C18"/>
    <mergeCell ref="B17:G17"/>
    <mergeCell ref="E18:G18"/>
    <mergeCell ref="B3:C3"/>
    <mergeCell ref="E3:F3"/>
  </mergeCells>
  <conditionalFormatting sqref="H14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Waste Collection Mechanism</vt:lpstr>
      <vt:lpstr>Vehicle Drivetrain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Caratao</dc:creator>
  <cp:lastModifiedBy>Caratao, Joshua</cp:lastModifiedBy>
  <dcterms:created xsi:type="dcterms:W3CDTF">2015-06-05T18:17:20Z</dcterms:created>
  <dcterms:modified xsi:type="dcterms:W3CDTF">2026-03-24T00:09:14Z</dcterms:modified>
</cp:coreProperties>
</file>